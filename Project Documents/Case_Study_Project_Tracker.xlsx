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dede893d28b5a21/Desktop/hms/Project Documents/"/>
    </mc:Choice>
  </mc:AlternateContent>
  <xr:revisionPtr revIDLastSave="5" documentId="11_ED3D4D5F118E49BD66A9610E4EEF12FE16D7046D" xr6:coauthVersionLast="47" xr6:coauthVersionMax="47" xr10:uidLastSave="{B01829FC-D418-47C0-A783-9D8673B1920F}"/>
  <bookViews>
    <workbookView xWindow="-108" yWindow="-108" windowWidth="23256" windowHeight="12456" tabRatio="500" activeTab="3" xr2:uid="{00000000-000D-0000-FFFF-FFFF00000000}"/>
  </bookViews>
  <sheets>
    <sheet name="Instructions" sheetId="1" r:id="rId1"/>
    <sheet name="Task Tracker" sheetId="2" r:id="rId2"/>
    <sheet name="Daily Work Log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4" l="1"/>
  <c r="G41" i="4"/>
  <c r="E41" i="4"/>
  <c r="D41" i="4"/>
  <c r="C41" i="4"/>
  <c r="G40" i="4"/>
  <c r="E40" i="4"/>
  <c r="D40" i="4"/>
  <c r="C40" i="4"/>
  <c r="G39" i="4"/>
  <c r="E39" i="4"/>
  <c r="D39" i="4"/>
  <c r="C39" i="4"/>
  <c r="G38" i="4"/>
  <c r="E38" i="4"/>
  <c r="E42" i="4" s="1"/>
  <c r="D38" i="4"/>
  <c r="D42" i="4" s="1"/>
  <c r="C38" i="4"/>
  <c r="C25" i="4"/>
  <c r="F22" i="4"/>
  <c r="C16" i="4"/>
  <c r="C15" i="4"/>
  <c r="C14" i="4"/>
  <c r="F21" i="4" s="1"/>
  <c r="C11" i="4"/>
  <c r="C10" i="4"/>
  <c r="C24" i="4" s="1"/>
  <c r="C9" i="4"/>
  <c r="C23" i="4" s="1"/>
  <c r="C8" i="4"/>
  <c r="C22" i="4" s="1"/>
  <c r="C7" i="4"/>
  <c r="C21" i="4" s="1"/>
  <c r="C6" i="4"/>
  <c r="C42" i="4" l="1"/>
  <c r="F39" i="4"/>
  <c r="F41" i="4"/>
  <c r="F40" i="4"/>
  <c r="F38" i="4"/>
  <c r="F42" i="4" s="1"/>
</calcChain>
</file>

<file path=xl/sharedStrings.xml><?xml version="1.0" encoding="utf-8"?>
<sst xmlns="http://schemas.openxmlformats.org/spreadsheetml/2006/main" count="328" uniqueCount="166">
  <si>
    <t>Case Study Project Tracker</t>
  </si>
  <si>
    <t>Java Full Stack Training — Capstone Case Study</t>
  </si>
  <si>
    <t>How to use this workbook</t>
  </si>
  <si>
    <t>1. Go to the 'Task Tracker' sheet. Each trainee/team lists the tasks (modules, features, sub-tasks) for their case study there — similar to a sprint backlog in a real software team.</t>
  </si>
  <si>
    <t>2. Update your task's Status, % Complete, and Hours Spent regularly (daily/every alternate day) — do not wait until the deadline.</t>
  </si>
  <si>
    <t>3. Use the 'Daily Work Log' sheet every working day to record what you did, like a standup update: Yesterday's work, Today's plan, and any blockers.</t>
  </si>
  <si>
    <t>4. The 'Dashboard' sheet updates automatically from the Task Tracker sheet — do not edit it directly.</t>
  </si>
  <si>
    <t>5. Cells shaded light yellow are example rows — replace them with your own data. Do not delete the header rows.</t>
  </si>
  <si>
    <t>Column &amp; Status Legend (Task Tracker sheet)</t>
  </si>
  <si>
    <t>Status values: Not Started, In Progress, Blocked, In Review, Completed</t>
  </si>
  <si>
    <t>Priority values: High, Medium, Low</t>
  </si>
  <si>
    <t>% Complete: enter a whole number between 0 and 100 (e.g., 50 for 50%).</t>
  </si>
  <si>
    <t>Hours Estimated / Hours Spent: enter numeric hours (e.g., 4, 6.5).</t>
  </si>
  <si>
    <t>Remarks / Blockers: mention any dependency, doubt, or issue blocking progress — leave blank if none.</t>
  </si>
  <si>
    <t>Column Legend (Daily Work Log sheet)</t>
  </si>
  <si>
    <t>Fill one row per person per working day. Task ID should match the Task Tracker sheet where applicable.</t>
  </si>
  <si>
    <t>Conventions used in this workbook</t>
  </si>
  <si>
    <t>Yellow fill = example row / cells you should edit or replace with your own data.</t>
  </si>
  <si>
    <t>White/grey rows = your data entry rows (add as many as needed).</t>
  </si>
  <si>
    <t>Dashboard values and charts = auto-calculated, formula-driven — do not overwrite.</t>
  </si>
  <si>
    <t>Team: Sriram, Akash, Nitish, Harsha — tasks are split equally (15 estimated hours each). See "Team Workload Split" on the Dashboard.</t>
  </si>
  <si>
    <t>Case Study Task Tracker</t>
  </si>
  <si>
    <t>Update Status, % Complete and Hours Spent regularly. See 'Instructions' sheet for the legend.</t>
  </si>
  <si>
    <t>Task ID</t>
  </si>
  <si>
    <t>Module / Feature</t>
  </si>
  <si>
    <t>Task Description</t>
  </si>
  <si>
    <t>Assigned To</t>
  </si>
  <si>
    <t>Priority</t>
  </si>
  <si>
    <t>Status</t>
  </si>
  <si>
    <t>Start Date</t>
  </si>
  <si>
    <t>Due Date</t>
  </si>
  <si>
    <t>Est. Hours</t>
  </si>
  <si>
    <t>Hours Spent</t>
  </si>
  <si>
    <t>% Complete</t>
  </si>
  <si>
    <t>Remarks / Blockers</t>
  </si>
  <si>
    <t>Last Updated</t>
  </si>
  <si>
    <t>T-001</t>
  </si>
  <si>
    <t>Database / Entities</t>
  </si>
  <si>
    <t>Create entity classes and relationships for all tables (UserLogin, Patient, Doctor)</t>
  </si>
  <si>
    <t>Sriram</t>
  </si>
  <si>
    <t>High</t>
  </si>
  <si>
    <t>Completed</t>
  </si>
  <si>
    <t>None</t>
  </si>
  <si>
    <t>T-002</t>
  </si>
  <si>
    <t>Create entity classes and relationships for tables ( Appointment, Address)</t>
  </si>
  <si>
    <t>Harsha</t>
  </si>
  <si>
    <t>T-003</t>
  </si>
  <si>
    <t>Create entity classes and relationships for tables ( Bill, Medicine)</t>
  </si>
  <si>
    <t>Nitish</t>
  </si>
  <si>
    <t>T-004</t>
  </si>
  <si>
    <t>Create entity classes and relationships for tables ( Prescription, Prescription Items)</t>
  </si>
  <si>
    <t>Akash</t>
  </si>
  <si>
    <t>T-005</t>
  </si>
  <si>
    <t>Database / Repositories</t>
  </si>
  <si>
    <t>Create Spring Data JPA repository interfaces for all entities</t>
  </si>
  <si>
    <t>T-006</t>
  </si>
  <si>
    <t>DTO Layer</t>
  </si>
  <si>
    <t>Create request and response DTOs (Java records) with validation annotations</t>
  </si>
  <si>
    <t>T-007</t>
  </si>
  <si>
    <t>Patient &amp; Doctor Management</t>
  </si>
  <si>
    <t>Patient and Doctor services: register, get by id / user id, get all, doctors by department, update, delete</t>
  </si>
  <si>
    <t>Written, waiting for testing</t>
  </si>
  <si>
    <t>T-008</t>
  </si>
  <si>
    <t>Appointment Booking</t>
  </si>
  <si>
    <t>Appointment service: book with doctor slot-overlap check, cancel, reschedule, get by patient / doctor / date, update status</t>
  </si>
  <si>
    <t>Fixed 30-minute slot length to be confirmed with sir</t>
  </si>
  <si>
    <t>T-009</t>
  </si>
  <si>
    <t>Prescription &amp; Address</t>
  </si>
  <si>
    <t>Prescription service (create / update with items) and Address service (save or update, get)</t>
  </si>
  <si>
    <t>Medium</t>
  </si>
  <si>
    <t>Waiting for testing</t>
  </si>
  <si>
    <t>T-010</t>
  </si>
  <si>
    <t>Billing &amp; Medicine</t>
  </si>
  <si>
    <t>Bill service (consultation and medicine bills, update status) and Medicine service (add, search, update, delete)</t>
  </si>
  <si>
    <t>T-011</t>
  </si>
  <si>
    <t>Exception Handling</t>
  </si>
  <si>
    <t>Global exception handler with custom exceptions mapped to proper HTTP status codes</t>
  </si>
  <si>
    <t>Handlers for newer exceptions to be added and tested</t>
  </si>
  <si>
    <t>T-012</t>
  </si>
  <si>
    <t>REST Controllers</t>
  </si>
  <si>
    <t>REST controllers for all 8 modules with validation and consistent URL style</t>
  </si>
  <si>
    <t>Fixed path variable bug in AppointmentController</t>
  </si>
  <si>
    <t>T-013</t>
  </si>
  <si>
    <t>Frontend - Setup &amp; Login</t>
  </si>
  <si>
    <t>React setup, auth context, protected routes by role, login page, API service</t>
  </si>
  <si>
    <t>Role names in roles.js must match the backend Role enum</t>
  </si>
  <si>
    <t>T-014</t>
  </si>
  <si>
    <t>Frontend - Layout</t>
  </si>
  <si>
    <t>Login layout and main layout with Navbar and Sidebar (menu per role) using MUI</t>
  </si>
  <si>
    <t>T-015</t>
  </si>
  <si>
    <t>Frontend - Appointment Booking</t>
  </si>
  <si>
    <t>Book appointment page: choose department, doctor, date and time (sir's main requirement)</t>
  </si>
  <si>
    <t>Needs login and layout done first</t>
  </si>
  <si>
    <t>T-016</t>
  </si>
  <si>
    <t>Frontend - Management Pages</t>
  </si>
  <si>
    <t>Patients, Doctors and Appointments list pages with add / edit / cancel</t>
  </si>
  <si>
    <t>T-017</t>
  </si>
  <si>
    <t>Frontend - Clinical Pages</t>
  </si>
  <si>
    <t>Medicines, Prescriptions and Bills pages</t>
  </si>
  <si>
    <t>T-018</t>
  </si>
  <si>
    <t>Testing</t>
  </si>
  <si>
    <t>Test all APIs in Postman: add doctor, register patient, login, book appointment, prescription, bill</t>
  </si>
  <si>
    <t>Daily Work Log</t>
  </si>
  <si>
    <t>Fill one row per person per working day — like a daily standup update.</t>
  </si>
  <si>
    <t>Date</t>
  </si>
  <si>
    <t>Participant Name</t>
  </si>
  <si>
    <t>Work Done Today</t>
  </si>
  <si>
    <t>Blockers / Issues</t>
  </si>
  <si>
    <t>Plan for Tomorrow</t>
  </si>
  <si>
    <t>Repository and Service layers</t>
  </si>
  <si>
    <t>Created entity classes and relationships for tables ( Appointment, Address)</t>
  </si>
  <si>
    <t xml:space="preserve"> Service layers for the created Entities</t>
  </si>
  <si>
    <t>Created Spring Data JPA repository interfaces for all entities</t>
  </si>
  <si>
    <t>Implementation Of Service layers</t>
  </si>
  <si>
    <t>Created request and response DTOs (Java records) for all modules</t>
  </si>
  <si>
    <t>In Progress</t>
  </si>
  <si>
    <t>Add validation annotations to the DTOs</t>
  </si>
  <si>
    <t>Added validation annotations (@NotNull, @Size, @Email) to all DTOs</t>
  </si>
  <si>
    <t>Start REST controllers for all modules</t>
  </si>
  <si>
    <t>Patient and Doctor services: register, get by id / user id, get all</t>
  </si>
  <si>
    <t>Doctors by department, update and delete</t>
  </si>
  <si>
    <t>Appointment service: book with doctor slot-overlap check and cancel</t>
  </si>
  <si>
    <t>Reschedule, get by patient / doctor / date, update status</t>
  </si>
  <si>
    <t>Bill service: consultation and medicine bills</t>
  </si>
  <si>
    <t>Update bill status and start Medicine service</t>
  </si>
  <si>
    <t>Prescription service: create and update with items</t>
  </si>
  <si>
    <t>Address service (save or update, get)</t>
  </si>
  <si>
    <t>REST controllers for the modules with validation and consistent URL style</t>
  </si>
  <si>
    <t>Finish remaining controllers and start frontend setup</t>
  </si>
  <si>
    <t>Patient and Doctor services: doctors by department, update, delete</t>
  </si>
  <si>
    <t>In Review</t>
  </si>
  <si>
    <t>Global exception handler</t>
  </si>
  <si>
    <t>Appointment service: reschedule, get by patient / doctor / date, update status</t>
  </si>
  <si>
    <t>Support API testing of appointment module</t>
  </si>
  <si>
    <t>Medicine service (add, search, update, delete) and bill status update</t>
  </si>
  <si>
    <t>Final checks on billing and medicine</t>
  </si>
  <si>
    <t>Address service: save or update, get</t>
  </si>
  <si>
    <t>Review prescription and address services</t>
  </si>
  <si>
    <t>T-012 / T-013</t>
  </si>
  <si>
    <t>Finished REST controllers; React setup, auth context and protected routes</t>
  </si>
  <si>
    <t>Login page and API service</t>
  </si>
  <si>
    <t>Global exception handler with custom exceptions mapped to HTTP status codes</t>
  </si>
  <si>
    <t>Start Patients and Doctors pages</t>
  </si>
  <si>
    <t>Reviewed Bill and Medicine services</t>
  </si>
  <si>
    <t>Start Medicines, Prescriptions and Bills pages</t>
  </si>
  <si>
    <t>Reviewed Prescription and Address services</t>
  </si>
  <si>
    <t>Start Postman API testing</t>
  </si>
  <si>
    <t>Project Tracker Dashboard</t>
  </si>
  <si>
    <t>Auto-calculated from the 'Task Tracker' sheet — do not edit these cells.</t>
  </si>
  <si>
    <t>Task Status Summary</t>
  </si>
  <si>
    <t>Total Tasks</t>
  </si>
  <si>
    <t>Not Started</t>
  </si>
  <si>
    <t>Blocked</t>
  </si>
  <si>
    <t>Effort Summary</t>
  </si>
  <si>
    <t>Total Est. Hours</t>
  </si>
  <si>
    <t>Total Hours Spent</t>
  </si>
  <si>
    <t>Avg. % Complete</t>
  </si>
  <si>
    <t>Count</t>
  </si>
  <si>
    <t>Metric</t>
  </si>
  <si>
    <t>Hours</t>
  </si>
  <si>
    <t>Spent Hours</t>
  </si>
  <si>
    <t>Team Workload Split</t>
  </si>
  <si>
    <t>Member</t>
  </si>
  <si>
    <t>Tasks</t>
  </si>
  <si>
    <t>Share of Est. Hours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</si>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</sst>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0.0\%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3864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6" fillId="0" borderId="0" xfId="0" applyFont="1"/>
    <xf numFmtId="165" fontId="6" fillId="0" borderId="0" xfId="0" applyNumberFormat="1" applyFont="1"/>
    <xf numFmtId="0" fontId="11" fillId="2" borderId="0" xfId="0" applyFont="1" applyFill="1" applyAlignment="1">
      <alignment horizontal="center" vertical="center" wrapText="1"/>
    </xf>
    <xf numFmtId="0" fontId="10" fillId="4" borderId="0" xfId="0" applyFont="1" applyFill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91B-4912-B41A-681006408D0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91B-4912-B41A-681006408D0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91B-4912-B41A-681006408D0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91B-4912-B41A-681006408D0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91B-4912-B41A-681006408D0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91B-4912-B41A-681006408D0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91B-4912-B41A-681006408D0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91B-4912-B41A-681006408D0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91B-4912-B41A-681006408D0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91B-4912-B41A-681006408D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Dashboard!$B$21:$B$25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In Review</c:v>
                </c:pt>
                <c:pt idx="4">
                  <c:v>Completed</c:v>
                </c:pt>
              </c:strCache>
            </c:strRef>
          </c:cat>
          <c:val>
            <c:numRef>
              <c:f>Dashboard!$C$21:$C$25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1B-4912-B41A-68100640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Hours: Estimated vs Spent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Dashboard!$E$21:$E$22</c:f>
              <c:strCache>
                <c:ptCount val="2"/>
                <c:pt idx="0">
                  <c:v>Est. Hours</c:v>
                </c:pt>
                <c:pt idx="1">
                  <c:v>Spent Hours</c:v>
                </c:pt>
              </c:strCache>
            </c:strRef>
          </c:cat>
          <c:val>
            <c:numRef>
              <c:f>Dashboard!$F$21:$F$22</c:f>
              <c:numCache>
                <c:formatCode>0.0</c:formatCode>
                <c:ptCount val="2"/>
                <c:pt idx="0">
                  <c:v>60</c:v>
                </c:pt>
                <c:pt idx="1">
                  <c:v>61.5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F-4BA7-A47F-8967A173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89447"/>
        <c:axId val="3787156"/>
      </c:barChart>
      <c:catAx>
        <c:axId val="40989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7156"/>
        <c:crosses val="autoZero"/>
        <c:auto val="1"/>
        <c:lblAlgn val="ctr"/>
        <c:lblOffset val="100"/>
        <c:noMultiLvlLbl val="0"/>
      </c:catAx>
      <c:valAx>
        <c:axId val="3787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89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131040</xdr:rowOff>
    </xdr:from>
    <xdr:to>
      <xdr:col>11</xdr:col>
      <xdr:colOff>38880</xdr:colOff>
      <xdr:row>18</xdr:row>
      <xdr:rowOff>152640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130680</xdr:rowOff>
    </xdr:from>
    <xdr:to>
      <xdr:col>11</xdr:col>
      <xdr:colOff>38880</xdr:colOff>
      <xdr:row>33</xdr:row>
      <xdr:rowOff>152640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showGridLines="0" zoomScale="160" zoomScaleNormal="160" workbookViewId="0"/>
  </sheetViews>
  <sheetFormatPr defaultColWidth="8.6640625" defaultRowHeight="14.4" x14ac:dyDescent="0.3"/>
  <cols>
    <col min="1" max="1" width="3" customWidth="1"/>
    <col min="2" max="2" width="100" customWidth="1"/>
    <col min="3" max="9" width="12" customWidth="1"/>
  </cols>
  <sheetData>
    <row r="2" spans="2:9" ht="24.75" customHeight="1" x14ac:dyDescent="0.4">
      <c r="B2" s="6" t="s">
        <v>0</v>
      </c>
    </row>
    <row r="3" spans="2:9" x14ac:dyDescent="0.3">
      <c r="B3" s="7" t="s">
        <v>1</v>
      </c>
    </row>
    <row r="5" spans="2:9" ht="15" customHeight="1" x14ac:dyDescent="0.3">
      <c r="B5" s="3" t="s">
        <v>2</v>
      </c>
      <c r="C5" s="3"/>
      <c r="D5" s="3"/>
      <c r="E5" s="3"/>
      <c r="F5" s="3"/>
      <c r="G5" s="3"/>
      <c r="H5" s="3"/>
      <c r="I5" s="3"/>
    </row>
    <row r="6" spans="2:9" ht="15" customHeight="1" x14ac:dyDescent="0.3">
      <c r="B6" s="2" t="s">
        <v>3</v>
      </c>
      <c r="C6" s="2"/>
      <c r="D6" s="2"/>
      <c r="E6" s="2"/>
      <c r="F6" s="2"/>
      <c r="G6" s="2"/>
      <c r="H6" s="2"/>
      <c r="I6" s="2"/>
    </row>
    <row r="7" spans="2:9" ht="15" customHeight="1" x14ac:dyDescent="0.3">
      <c r="B7" s="2" t="s">
        <v>4</v>
      </c>
      <c r="C7" s="2"/>
      <c r="D7" s="2"/>
      <c r="E7" s="2"/>
      <c r="F7" s="2"/>
      <c r="G7" s="2"/>
      <c r="H7" s="2"/>
      <c r="I7" s="2"/>
    </row>
    <row r="8" spans="2:9" ht="15" customHeight="1" x14ac:dyDescent="0.3">
      <c r="B8" s="2" t="s">
        <v>5</v>
      </c>
      <c r="C8" s="2"/>
      <c r="D8" s="2"/>
      <c r="E8" s="2"/>
      <c r="F8" s="2"/>
      <c r="G8" s="2"/>
      <c r="H8" s="2"/>
      <c r="I8" s="2"/>
    </row>
    <row r="9" spans="2:9" ht="15" customHeight="1" x14ac:dyDescent="0.3">
      <c r="B9" s="2" t="s">
        <v>6</v>
      </c>
      <c r="C9" s="2"/>
      <c r="D9" s="2"/>
      <c r="E9" s="2"/>
      <c r="F9" s="2"/>
      <c r="G9" s="2"/>
      <c r="H9" s="2"/>
      <c r="I9" s="2"/>
    </row>
    <row r="10" spans="2:9" ht="15" customHeight="1" x14ac:dyDescent="0.3">
      <c r="B10" s="2" t="s">
        <v>7</v>
      </c>
      <c r="C10" s="2"/>
      <c r="D10" s="2"/>
      <c r="E10" s="2"/>
      <c r="F10" s="2"/>
      <c r="G10" s="2"/>
      <c r="H10" s="2"/>
      <c r="I10" s="2"/>
    </row>
    <row r="11" spans="2:9" x14ac:dyDescent="0.3">
      <c r="B11" s="2"/>
      <c r="C11" s="2"/>
      <c r="D11" s="2"/>
      <c r="E11" s="2"/>
      <c r="F11" s="2"/>
      <c r="G11" s="2"/>
      <c r="H11" s="2"/>
      <c r="I11" s="2"/>
    </row>
    <row r="12" spans="2:9" ht="15" customHeight="1" x14ac:dyDescent="0.3">
      <c r="B12" s="3" t="s">
        <v>8</v>
      </c>
      <c r="C12" s="3"/>
      <c r="D12" s="3"/>
      <c r="E12" s="3"/>
      <c r="F12" s="3"/>
      <c r="G12" s="3"/>
      <c r="H12" s="3"/>
      <c r="I12" s="3"/>
    </row>
    <row r="13" spans="2:9" ht="15" customHeight="1" x14ac:dyDescent="0.3">
      <c r="B13" s="2" t="s">
        <v>9</v>
      </c>
      <c r="C13" s="2"/>
      <c r="D13" s="2"/>
      <c r="E13" s="2"/>
      <c r="F13" s="2"/>
      <c r="G13" s="2"/>
      <c r="H13" s="2"/>
      <c r="I13" s="2"/>
    </row>
    <row r="14" spans="2:9" ht="15" customHeight="1" x14ac:dyDescent="0.3">
      <c r="B14" s="2" t="s">
        <v>10</v>
      </c>
      <c r="C14" s="2"/>
      <c r="D14" s="2"/>
      <c r="E14" s="2"/>
      <c r="F14" s="2"/>
      <c r="G14" s="2"/>
      <c r="H14" s="2"/>
      <c r="I14" s="2"/>
    </row>
    <row r="15" spans="2:9" ht="15" customHeight="1" x14ac:dyDescent="0.3">
      <c r="B15" s="2" t="s">
        <v>11</v>
      </c>
      <c r="C15" s="2"/>
      <c r="D15" s="2"/>
      <c r="E15" s="2"/>
      <c r="F15" s="2"/>
      <c r="G15" s="2"/>
      <c r="H15" s="2"/>
      <c r="I15" s="2"/>
    </row>
    <row r="16" spans="2:9" ht="15" customHeight="1" x14ac:dyDescent="0.3">
      <c r="B16" s="2" t="s">
        <v>12</v>
      </c>
      <c r="C16" s="2"/>
      <c r="D16" s="2"/>
      <c r="E16" s="2"/>
      <c r="F16" s="2"/>
      <c r="G16" s="2"/>
      <c r="H16" s="2"/>
      <c r="I16" s="2"/>
    </row>
    <row r="17" spans="2:9" ht="15" customHeight="1" x14ac:dyDescent="0.3">
      <c r="B17" s="2" t="s">
        <v>13</v>
      </c>
      <c r="C17" s="2"/>
      <c r="D17" s="2"/>
      <c r="E17" s="2"/>
      <c r="F17" s="2"/>
      <c r="G17" s="2"/>
      <c r="H17" s="2"/>
      <c r="I17" s="2"/>
    </row>
    <row r="18" spans="2:9" x14ac:dyDescent="0.3">
      <c r="B18" s="2"/>
      <c r="C18" s="2"/>
      <c r="D18" s="2"/>
      <c r="E18" s="2"/>
      <c r="F18" s="2"/>
      <c r="G18" s="2"/>
      <c r="H18" s="2"/>
      <c r="I18" s="2"/>
    </row>
    <row r="19" spans="2:9" ht="15" customHeight="1" x14ac:dyDescent="0.3">
      <c r="B19" s="3" t="s">
        <v>14</v>
      </c>
      <c r="C19" s="3"/>
      <c r="D19" s="3"/>
      <c r="E19" s="3"/>
      <c r="F19" s="3"/>
      <c r="G19" s="3"/>
      <c r="H19" s="3"/>
      <c r="I19" s="3"/>
    </row>
    <row r="20" spans="2:9" ht="15" customHeight="1" x14ac:dyDescent="0.3">
      <c r="B20" s="2" t="s">
        <v>15</v>
      </c>
      <c r="C20" s="2"/>
      <c r="D20" s="2"/>
      <c r="E20" s="2"/>
      <c r="F20" s="2"/>
      <c r="G20" s="2"/>
      <c r="H20" s="2"/>
      <c r="I20" s="2"/>
    </row>
    <row r="21" spans="2:9" x14ac:dyDescent="0.3">
      <c r="B21" s="2"/>
      <c r="C21" s="2"/>
      <c r="D21" s="2"/>
      <c r="E21" s="2"/>
      <c r="F21" s="2"/>
      <c r="G21" s="2"/>
      <c r="H21" s="2"/>
      <c r="I21" s="2"/>
    </row>
    <row r="22" spans="2:9" ht="15" customHeight="1" x14ac:dyDescent="0.3">
      <c r="B22" s="3" t="s">
        <v>16</v>
      </c>
      <c r="C22" s="3"/>
      <c r="D22" s="3"/>
      <c r="E22" s="3"/>
      <c r="F22" s="3"/>
      <c r="G22" s="3"/>
      <c r="H22" s="3"/>
      <c r="I22" s="3"/>
    </row>
    <row r="23" spans="2:9" ht="15" customHeight="1" x14ac:dyDescent="0.3">
      <c r="B23" s="2" t="s">
        <v>17</v>
      </c>
      <c r="C23" s="2"/>
      <c r="D23" s="2"/>
      <c r="E23" s="2"/>
      <c r="F23" s="2"/>
      <c r="G23" s="2"/>
      <c r="H23" s="2"/>
      <c r="I23" s="2"/>
    </row>
    <row r="24" spans="2:9" ht="15" customHeight="1" x14ac:dyDescent="0.3">
      <c r="B24" s="2" t="s">
        <v>18</v>
      </c>
      <c r="C24" s="2"/>
      <c r="D24" s="2"/>
      <c r="E24" s="2"/>
      <c r="F24" s="2"/>
      <c r="G24" s="2"/>
      <c r="H24" s="2"/>
      <c r="I24" s="2"/>
    </row>
    <row r="25" spans="2:9" ht="15" customHeight="1" x14ac:dyDescent="0.3">
      <c r="B25" s="2" t="s">
        <v>19</v>
      </c>
      <c r="C25" s="2"/>
      <c r="D25" s="2"/>
      <c r="E25" s="2"/>
      <c r="F25" s="2"/>
      <c r="G25" s="2"/>
      <c r="H25" s="2"/>
      <c r="I25" s="2"/>
    </row>
    <row r="26" spans="2:9" ht="14.25" customHeight="1" x14ac:dyDescent="0.3">
      <c r="B26" s="1" t="s">
        <v>20</v>
      </c>
      <c r="C26" s="1"/>
      <c r="D26" s="1"/>
      <c r="E26" s="1"/>
      <c r="F26" s="1"/>
      <c r="G26" s="1"/>
      <c r="H26" s="1"/>
      <c r="I26" s="1"/>
    </row>
  </sheetData>
  <mergeCells count="22">
    <mergeCell ref="B25:I25"/>
    <mergeCell ref="B26:I26"/>
    <mergeCell ref="B20:I20"/>
    <mergeCell ref="B21:I21"/>
    <mergeCell ref="B22:I22"/>
    <mergeCell ref="B23:I23"/>
    <mergeCell ref="B24:I24"/>
    <mergeCell ref="B15:I15"/>
    <mergeCell ref="B16:I16"/>
    <mergeCell ref="B17:I17"/>
    <mergeCell ref="B18:I18"/>
    <mergeCell ref="B19:I19"/>
    <mergeCell ref="B10:I10"/>
    <mergeCell ref="B11:I11"/>
    <mergeCell ref="B12:I12"/>
    <mergeCell ref="B13:I13"/>
    <mergeCell ref="B14:I14"/>
    <mergeCell ref="B5:I5"/>
    <mergeCell ref="B6:I6"/>
    <mergeCell ref="B7:I7"/>
    <mergeCell ref="B8:I8"/>
    <mergeCell ref="B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showGridLines="0" zoomScaleNormal="100" workbookViewId="0">
      <pane ySplit="4" topLeftCell="A24" activePane="bottomLeft" state="frozen"/>
      <selection pane="bottomLeft" activeCell="C24" sqref="C24"/>
    </sheetView>
  </sheetViews>
  <sheetFormatPr defaultColWidth="8.6640625" defaultRowHeight="14.4" x14ac:dyDescent="0.3"/>
  <cols>
    <col min="1" max="1" width="9" customWidth="1"/>
    <col min="2" max="2" width="20" customWidth="1"/>
    <col min="3" max="3" width="34" customWidth="1"/>
    <col min="4" max="4" width="13" customWidth="1"/>
    <col min="5" max="5" width="10" customWidth="1"/>
    <col min="6" max="8" width="13" customWidth="1"/>
    <col min="9" max="10" width="10" customWidth="1"/>
    <col min="11" max="11" width="11" customWidth="1"/>
    <col min="12" max="12" width="30" customWidth="1"/>
    <col min="13" max="13" width="13" customWidth="1"/>
  </cols>
  <sheetData>
    <row r="1" spans="1:13" ht="19.5" customHeight="1" x14ac:dyDescent="0.4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30" customHeight="1" x14ac:dyDescent="0.3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  <c r="M4" s="9" t="s">
        <v>35</v>
      </c>
    </row>
    <row r="5" spans="1:13" ht="24.75" customHeight="1" x14ac:dyDescent="0.3">
      <c r="A5" s="10" t="s">
        <v>36</v>
      </c>
      <c r="B5" s="11" t="s">
        <v>37</v>
      </c>
      <c r="C5" s="11" t="s">
        <v>38</v>
      </c>
      <c r="D5" s="10" t="s">
        <v>39</v>
      </c>
      <c r="E5" s="10" t="s">
        <v>40</v>
      </c>
      <c r="F5" s="10" t="s">
        <v>41</v>
      </c>
      <c r="G5" s="12">
        <v>46295</v>
      </c>
      <c r="H5" s="12">
        <v>46295</v>
      </c>
      <c r="I5" s="10">
        <v>1</v>
      </c>
      <c r="J5" s="10">
        <v>1.5</v>
      </c>
      <c r="K5" s="10">
        <v>100</v>
      </c>
      <c r="L5" s="11" t="s">
        <v>42</v>
      </c>
      <c r="M5" s="12"/>
    </row>
    <row r="6" spans="1:13" ht="24.75" customHeight="1" x14ac:dyDescent="0.3">
      <c r="A6" s="13" t="s">
        <v>43</v>
      </c>
      <c r="B6" s="14" t="s">
        <v>37</v>
      </c>
      <c r="C6" s="14" t="s">
        <v>44</v>
      </c>
      <c r="D6" s="13" t="s">
        <v>45</v>
      </c>
      <c r="E6" s="13" t="s">
        <v>40</v>
      </c>
      <c r="F6" s="13" t="s">
        <v>41</v>
      </c>
      <c r="G6" s="15">
        <v>46295</v>
      </c>
      <c r="H6" s="15">
        <v>46295</v>
      </c>
      <c r="I6" s="13">
        <v>1</v>
      </c>
      <c r="J6" s="13">
        <v>1</v>
      </c>
      <c r="K6" s="13">
        <v>100</v>
      </c>
      <c r="L6" s="14" t="s">
        <v>42</v>
      </c>
      <c r="M6" s="15"/>
    </row>
    <row r="7" spans="1:13" ht="24.75" customHeight="1" x14ac:dyDescent="0.3">
      <c r="A7" s="10" t="s">
        <v>46</v>
      </c>
      <c r="B7" s="11" t="s">
        <v>37</v>
      </c>
      <c r="C7" s="11" t="s">
        <v>47</v>
      </c>
      <c r="D7" s="10" t="s">
        <v>48</v>
      </c>
      <c r="E7" s="10" t="s">
        <v>40</v>
      </c>
      <c r="F7" s="10" t="s">
        <v>41</v>
      </c>
      <c r="G7" s="12">
        <v>46295</v>
      </c>
      <c r="H7" s="12">
        <v>46295</v>
      </c>
      <c r="I7" s="10">
        <v>1</v>
      </c>
      <c r="J7" s="10">
        <v>1</v>
      </c>
      <c r="K7" s="10">
        <v>100</v>
      </c>
      <c r="L7" s="11" t="s">
        <v>42</v>
      </c>
      <c r="M7" s="12"/>
    </row>
    <row r="8" spans="1:13" ht="37.5" customHeight="1" x14ac:dyDescent="0.3">
      <c r="A8" s="13" t="s">
        <v>49</v>
      </c>
      <c r="B8" s="14" t="s">
        <v>37</v>
      </c>
      <c r="C8" s="14" t="s">
        <v>50</v>
      </c>
      <c r="D8" s="13" t="s">
        <v>51</v>
      </c>
      <c r="E8" s="13" t="s">
        <v>40</v>
      </c>
      <c r="F8" s="13" t="s">
        <v>41</v>
      </c>
      <c r="G8" s="15">
        <v>46295</v>
      </c>
      <c r="H8" s="15">
        <v>46295</v>
      </c>
      <c r="I8" s="13">
        <v>1</v>
      </c>
      <c r="J8" s="13">
        <v>1</v>
      </c>
      <c r="K8" s="13">
        <v>100</v>
      </c>
      <c r="L8" s="14" t="s">
        <v>42</v>
      </c>
      <c r="M8" s="15"/>
    </row>
    <row r="9" spans="1:13" ht="24.75" customHeight="1" x14ac:dyDescent="0.3">
      <c r="A9" s="10" t="s">
        <v>52</v>
      </c>
      <c r="B9" s="11" t="s">
        <v>53</v>
      </c>
      <c r="C9" s="11" t="s">
        <v>54</v>
      </c>
      <c r="D9" s="10" t="s">
        <v>48</v>
      </c>
      <c r="E9" s="10" t="s">
        <v>40</v>
      </c>
      <c r="F9" s="10" t="s">
        <v>41</v>
      </c>
      <c r="G9" s="12">
        <v>46296</v>
      </c>
      <c r="H9" s="12">
        <v>46296</v>
      </c>
      <c r="I9" s="10">
        <v>1</v>
      </c>
      <c r="J9" s="10">
        <v>1</v>
      </c>
      <c r="K9" s="10">
        <v>100</v>
      </c>
      <c r="L9" s="11" t="s">
        <v>42</v>
      </c>
      <c r="M9" s="12"/>
    </row>
    <row r="10" spans="1:13" ht="24.75" customHeight="1" x14ac:dyDescent="0.3">
      <c r="A10" s="13" t="s">
        <v>55</v>
      </c>
      <c r="B10" s="14" t="s">
        <v>56</v>
      </c>
      <c r="C10" s="14" t="s">
        <v>57</v>
      </c>
      <c r="D10" s="13" t="s">
        <v>45</v>
      </c>
      <c r="E10" s="13" t="s">
        <v>40</v>
      </c>
      <c r="F10" s="13" t="s">
        <v>41</v>
      </c>
      <c r="G10" s="15">
        <v>46296</v>
      </c>
      <c r="H10" s="15">
        <v>46296</v>
      </c>
      <c r="I10" s="13">
        <v>2</v>
      </c>
      <c r="J10" s="13">
        <v>1</v>
      </c>
      <c r="K10" s="13">
        <v>100</v>
      </c>
      <c r="L10" s="14" t="s">
        <v>42</v>
      </c>
      <c r="M10" s="15"/>
    </row>
    <row r="11" spans="1:13" ht="37.5" customHeight="1" x14ac:dyDescent="0.3">
      <c r="A11" s="10" t="s">
        <v>58</v>
      </c>
      <c r="B11" s="11" t="s">
        <v>59</v>
      </c>
      <c r="C11" s="11" t="s">
        <v>60</v>
      </c>
      <c r="D11" s="10" t="s">
        <v>39</v>
      </c>
      <c r="E11" s="10" t="s">
        <v>40</v>
      </c>
      <c r="F11" s="10" t="s">
        <v>41</v>
      </c>
      <c r="G11" s="12">
        <v>46297</v>
      </c>
      <c r="H11" s="12">
        <v>46297</v>
      </c>
      <c r="I11" s="10">
        <v>5</v>
      </c>
      <c r="J11" s="10">
        <v>6</v>
      </c>
      <c r="K11" s="10">
        <v>100</v>
      </c>
      <c r="L11" s="11" t="s">
        <v>61</v>
      </c>
      <c r="M11" s="12"/>
    </row>
    <row r="12" spans="1:13" ht="49.5" customHeight="1" x14ac:dyDescent="0.3">
      <c r="A12" s="13" t="s">
        <v>62</v>
      </c>
      <c r="B12" s="14" t="s">
        <v>63</v>
      </c>
      <c r="C12" s="14" t="s">
        <v>64</v>
      </c>
      <c r="D12" s="13" t="s">
        <v>48</v>
      </c>
      <c r="E12" s="13" t="s">
        <v>40</v>
      </c>
      <c r="F12" s="13" t="s">
        <v>41</v>
      </c>
      <c r="G12" s="15">
        <v>46297</v>
      </c>
      <c r="H12" s="15">
        <v>46297</v>
      </c>
      <c r="I12" s="13">
        <v>3</v>
      </c>
      <c r="J12" s="13">
        <v>4</v>
      </c>
      <c r="K12" s="13">
        <v>100</v>
      </c>
      <c r="L12" s="14" t="s">
        <v>65</v>
      </c>
      <c r="M12" s="15"/>
    </row>
    <row r="13" spans="1:13" ht="37.5" customHeight="1" x14ac:dyDescent="0.3">
      <c r="A13" s="10" t="s">
        <v>66</v>
      </c>
      <c r="B13" s="11" t="s">
        <v>67</v>
      </c>
      <c r="C13" s="11" t="s">
        <v>68</v>
      </c>
      <c r="D13" s="10" t="s">
        <v>51</v>
      </c>
      <c r="E13" s="10" t="s">
        <v>69</v>
      </c>
      <c r="F13" s="10" t="s">
        <v>41</v>
      </c>
      <c r="G13" s="12">
        <v>46297</v>
      </c>
      <c r="H13" s="12">
        <v>46297</v>
      </c>
      <c r="I13" s="10">
        <v>5</v>
      </c>
      <c r="J13" s="10">
        <v>5</v>
      </c>
      <c r="K13" s="10">
        <v>100</v>
      </c>
      <c r="L13" s="11" t="s">
        <v>70</v>
      </c>
      <c r="M13" s="12"/>
    </row>
    <row r="14" spans="1:13" ht="37.5" customHeight="1" x14ac:dyDescent="0.3">
      <c r="A14" s="13" t="s">
        <v>71</v>
      </c>
      <c r="B14" s="14" t="s">
        <v>72</v>
      </c>
      <c r="C14" s="14" t="s">
        <v>73</v>
      </c>
      <c r="D14" s="13" t="s">
        <v>48</v>
      </c>
      <c r="E14" s="13" t="s">
        <v>69</v>
      </c>
      <c r="F14" s="13" t="s">
        <v>41</v>
      </c>
      <c r="G14" s="15">
        <v>46297</v>
      </c>
      <c r="H14" s="15">
        <v>46297</v>
      </c>
      <c r="I14" s="13">
        <v>4</v>
      </c>
      <c r="J14" s="13">
        <v>3</v>
      </c>
      <c r="K14" s="13">
        <v>100</v>
      </c>
      <c r="L14" s="14" t="s">
        <v>70</v>
      </c>
      <c r="M14" s="15"/>
    </row>
    <row r="15" spans="1:13" ht="37.5" customHeight="1" x14ac:dyDescent="0.3">
      <c r="A15" s="10" t="s">
        <v>74</v>
      </c>
      <c r="B15" s="11" t="s">
        <v>75</v>
      </c>
      <c r="C15" s="11" t="s">
        <v>76</v>
      </c>
      <c r="D15" s="10" t="s">
        <v>39</v>
      </c>
      <c r="E15" s="10" t="s">
        <v>69</v>
      </c>
      <c r="F15" s="10" t="s">
        <v>41</v>
      </c>
      <c r="G15" s="12">
        <v>46297</v>
      </c>
      <c r="H15" s="12">
        <v>46297</v>
      </c>
      <c r="I15" s="10">
        <v>3</v>
      </c>
      <c r="J15" s="10">
        <v>1</v>
      </c>
      <c r="K15" s="10">
        <v>100</v>
      </c>
      <c r="L15" s="11" t="s">
        <v>77</v>
      </c>
      <c r="M15" s="12"/>
    </row>
    <row r="16" spans="1:13" ht="24.75" customHeight="1" x14ac:dyDescent="0.3">
      <c r="A16" s="13" t="s">
        <v>78</v>
      </c>
      <c r="B16" s="14" t="s">
        <v>79</v>
      </c>
      <c r="C16" s="14" t="s">
        <v>80</v>
      </c>
      <c r="D16" s="39" t="s">
        <v>39</v>
      </c>
      <c r="E16" s="13" t="s">
        <v>40</v>
      </c>
      <c r="F16" s="13" t="s">
        <v>41</v>
      </c>
      <c r="G16" s="15">
        <v>46298</v>
      </c>
      <c r="H16" s="15">
        <v>46298</v>
      </c>
      <c r="I16" s="13">
        <v>8</v>
      </c>
      <c r="J16" s="13">
        <v>12</v>
      </c>
      <c r="K16" s="13">
        <v>100</v>
      </c>
      <c r="L16" s="14" t="s">
        <v>81</v>
      </c>
      <c r="M16" s="15"/>
    </row>
    <row r="17" spans="1:13" ht="24.75" customHeight="1" x14ac:dyDescent="0.3">
      <c r="A17" s="10" t="s">
        <v>82</v>
      </c>
      <c r="B17" s="11" t="s">
        <v>83</v>
      </c>
      <c r="C17" s="11" t="s">
        <v>84</v>
      </c>
      <c r="D17" s="38" t="s">
        <v>39</v>
      </c>
      <c r="E17" s="10" t="s">
        <v>40</v>
      </c>
      <c r="F17" s="10" t="s">
        <v>41</v>
      </c>
      <c r="G17" s="12">
        <v>46299</v>
      </c>
      <c r="H17" s="12">
        <v>46299</v>
      </c>
      <c r="I17" s="10">
        <v>4</v>
      </c>
      <c r="J17" s="10">
        <v>4</v>
      </c>
      <c r="K17" s="10">
        <v>100</v>
      </c>
      <c r="L17" s="11" t="s">
        <v>85</v>
      </c>
      <c r="M17" s="12"/>
    </row>
    <row r="18" spans="1:13" ht="24.75" customHeight="1" x14ac:dyDescent="0.3">
      <c r="A18" s="13" t="s">
        <v>86</v>
      </c>
      <c r="B18" s="14" t="s">
        <v>87</v>
      </c>
      <c r="C18" s="14" t="s">
        <v>88</v>
      </c>
      <c r="D18" s="13" t="s">
        <v>48</v>
      </c>
      <c r="E18" s="13" t="s">
        <v>69</v>
      </c>
      <c r="F18" s="13" t="s">
        <v>41</v>
      </c>
      <c r="G18" s="15">
        <v>46299</v>
      </c>
      <c r="H18" s="15">
        <v>46299</v>
      </c>
      <c r="I18" s="13">
        <v>6</v>
      </c>
      <c r="J18" s="13">
        <v>6</v>
      </c>
      <c r="K18" s="13">
        <v>100</v>
      </c>
      <c r="L18" s="14" t="s">
        <v>42</v>
      </c>
      <c r="M18" s="15"/>
    </row>
    <row r="19" spans="1:13" ht="37.5" customHeight="1" x14ac:dyDescent="0.3">
      <c r="A19" s="10" t="s">
        <v>89</v>
      </c>
      <c r="B19" s="11" t="s">
        <v>90</v>
      </c>
      <c r="C19" s="11" t="s">
        <v>91</v>
      </c>
      <c r="D19" s="10" t="s">
        <v>51</v>
      </c>
      <c r="E19" s="10" t="s">
        <v>40</v>
      </c>
      <c r="F19" s="10" t="s">
        <v>41</v>
      </c>
      <c r="G19" s="12">
        <v>46299</v>
      </c>
      <c r="H19" s="12">
        <v>46299</v>
      </c>
      <c r="I19" s="10">
        <v>2</v>
      </c>
      <c r="J19" s="10">
        <v>3</v>
      </c>
      <c r="K19" s="10">
        <v>100</v>
      </c>
      <c r="L19" s="11" t="s">
        <v>92</v>
      </c>
      <c r="M19" s="12"/>
    </row>
    <row r="20" spans="1:13" ht="24.75" customHeight="1" x14ac:dyDescent="0.3">
      <c r="A20" s="13" t="s">
        <v>93</v>
      </c>
      <c r="B20" s="14" t="s">
        <v>94</v>
      </c>
      <c r="C20" s="14" t="s">
        <v>95</v>
      </c>
      <c r="D20" s="39" t="s">
        <v>45</v>
      </c>
      <c r="E20" s="13" t="s">
        <v>69</v>
      </c>
      <c r="F20" s="13" t="s">
        <v>41</v>
      </c>
      <c r="G20" s="15">
        <v>46299</v>
      </c>
      <c r="H20" s="15">
        <v>46299</v>
      </c>
      <c r="I20" s="13">
        <v>2</v>
      </c>
      <c r="J20" s="13">
        <v>3</v>
      </c>
      <c r="K20" s="13">
        <v>100</v>
      </c>
      <c r="L20" s="14" t="s">
        <v>42</v>
      </c>
      <c r="M20" s="15"/>
    </row>
    <row r="21" spans="1:13" ht="24.75" customHeight="1" x14ac:dyDescent="0.3">
      <c r="A21" s="10" t="s">
        <v>96</v>
      </c>
      <c r="B21" s="11" t="s">
        <v>97</v>
      </c>
      <c r="C21" s="11" t="s">
        <v>98</v>
      </c>
      <c r="D21" s="38" t="s">
        <v>45</v>
      </c>
      <c r="E21" s="10" t="s">
        <v>69</v>
      </c>
      <c r="F21" s="10" t="s">
        <v>41</v>
      </c>
      <c r="G21" s="12">
        <v>46300</v>
      </c>
      <c r="H21" s="12">
        <v>46300</v>
      </c>
      <c r="I21" s="10">
        <v>4</v>
      </c>
      <c r="J21" s="10">
        <v>5</v>
      </c>
      <c r="K21" s="10">
        <v>100</v>
      </c>
      <c r="L21" s="11" t="s">
        <v>42</v>
      </c>
      <c r="M21" s="12"/>
    </row>
    <row r="22" spans="1:13" ht="37.5" customHeight="1" x14ac:dyDescent="0.3">
      <c r="A22" s="13" t="s">
        <v>99</v>
      </c>
      <c r="B22" s="14" t="s">
        <v>100</v>
      </c>
      <c r="C22" s="14" t="s">
        <v>101</v>
      </c>
      <c r="D22" s="13" t="s">
        <v>51</v>
      </c>
      <c r="E22" s="13" t="s">
        <v>40</v>
      </c>
      <c r="F22" s="13" t="s">
        <v>41</v>
      </c>
      <c r="G22" s="15">
        <v>46300</v>
      </c>
      <c r="H22" s="15">
        <v>46300</v>
      </c>
      <c r="I22" s="13">
        <v>7</v>
      </c>
      <c r="J22" s="13">
        <v>3</v>
      </c>
      <c r="K22" s="13">
        <v>100</v>
      </c>
      <c r="L22" s="14" t="s">
        <v>42</v>
      </c>
      <c r="M22" s="15"/>
    </row>
    <row r="23" spans="1:13" x14ac:dyDescent="0.3">
      <c r="A23" s="16"/>
      <c r="B23" s="17"/>
      <c r="C23" s="17"/>
      <c r="D23" s="16"/>
      <c r="E23" s="16"/>
      <c r="F23" s="16"/>
      <c r="G23" s="18"/>
      <c r="H23" s="18"/>
      <c r="I23" s="16"/>
      <c r="J23" s="16"/>
      <c r="K23" s="16"/>
      <c r="L23" s="17"/>
      <c r="M23" s="18"/>
    </row>
    <row r="24" spans="1:13" x14ac:dyDescent="0.3">
      <c r="A24" s="19"/>
      <c r="B24" s="20"/>
      <c r="C24" s="20"/>
      <c r="D24" s="19"/>
      <c r="E24" s="19"/>
      <c r="F24" s="19"/>
      <c r="G24" s="21"/>
      <c r="H24" s="21"/>
      <c r="I24" s="19"/>
      <c r="J24" s="19"/>
      <c r="K24" s="19"/>
      <c r="L24" s="20"/>
      <c r="M24" s="21"/>
    </row>
    <row r="25" spans="1:13" x14ac:dyDescent="0.3">
      <c r="A25" s="16"/>
      <c r="B25" s="17"/>
      <c r="C25" s="17"/>
      <c r="D25" s="16"/>
      <c r="E25" s="16"/>
      <c r="F25" s="16"/>
      <c r="G25" s="18"/>
      <c r="H25" s="18"/>
      <c r="I25" s="16"/>
      <c r="J25" s="16"/>
      <c r="K25" s="16"/>
      <c r="L25" s="17"/>
      <c r="M25" s="18"/>
    </row>
    <row r="26" spans="1:13" x14ac:dyDescent="0.3">
      <c r="A26" s="19"/>
      <c r="B26" s="20"/>
      <c r="C26" s="20"/>
      <c r="D26" s="19"/>
      <c r="E26" s="19"/>
      <c r="F26" s="19"/>
      <c r="G26" s="21"/>
      <c r="H26" s="21"/>
      <c r="I26" s="19"/>
      <c r="J26" s="19"/>
      <c r="K26" s="19"/>
      <c r="L26" s="20"/>
      <c r="M26" s="21"/>
    </row>
    <row r="27" spans="1:13" x14ac:dyDescent="0.3">
      <c r="A27" s="16"/>
      <c r="B27" s="17"/>
      <c r="C27" s="17"/>
      <c r="D27" s="16"/>
      <c r="E27" s="16"/>
      <c r="F27" s="16"/>
      <c r="G27" s="18"/>
      <c r="H27" s="18"/>
      <c r="I27" s="16"/>
      <c r="J27" s="16"/>
      <c r="K27" s="16"/>
      <c r="L27" s="17"/>
      <c r="M27" s="18"/>
    </row>
    <row r="28" spans="1:13" x14ac:dyDescent="0.3">
      <c r="A28" s="19"/>
      <c r="B28" s="20"/>
      <c r="C28" s="20"/>
      <c r="D28" s="19"/>
      <c r="E28" s="19"/>
      <c r="F28" s="19"/>
      <c r="G28" s="21"/>
      <c r="H28" s="21"/>
      <c r="I28" s="19"/>
      <c r="J28" s="19"/>
      <c r="K28" s="19"/>
      <c r="L28" s="20"/>
      <c r="M28" s="21"/>
    </row>
    <row r="29" spans="1:13" x14ac:dyDescent="0.3">
      <c r="A29" s="16"/>
      <c r="B29" s="17"/>
      <c r="C29" s="17"/>
      <c r="D29" s="16"/>
      <c r="E29" s="16"/>
      <c r="F29" s="16"/>
      <c r="G29" s="18"/>
      <c r="H29" s="18"/>
      <c r="I29" s="16"/>
      <c r="J29" s="16"/>
      <c r="K29" s="16"/>
      <c r="L29" s="17"/>
      <c r="M29" s="18"/>
    </row>
  </sheetData>
  <mergeCells count="2">
    <mergeCell ref="A1:M1"/>
    <mergeCell ref="A2:M2"/>
  </mergeCells>
  <conditionalFormatting sqref="F5:F29">
    <cfRule type="cellIs" dxfId="4" priority="2" operator="equal">
      <formula>"Completed"</formula>
    </cfRule>
    <cfRule type="cellIs" dxfId="3" priority="3" operator="equal">
      <formula>"Blocked"</formula>
    </cfRule>
    <cfRule type="cellIs" dxfId="2" priority="4" operator="equal">
      <formula>"In Progress"</formula>
    </cfRule>
    <cfRule type="cellIs" dxfId="1" priority="5" operator="equal">
      <formula>"In Review"</formula>
    </cfRule>
    <cfRule type="cellIs" dxfId="0" priority="6" operator="equal">
      <formula>"Not Started"</formula>
    </cfRule>
  </conditionalFormatting>
  <conditionalFormatting sqref="K5:K29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4">
    <dataValidation type="list" allowBlank="1" sqref="E5:E29" xr:uid="{00000000-0002-0000-0100-000000000000}">
      <formula1>"High,Medium,Low"</formula1>
      <formula2>0</formula2>
    </dataValidation>
    <dataValidation type="list" allowBlank="1" sqref="F5:F29" xr:uid="{00000000-0002-0000-0100-000001000000}">
      <formula1>"Not Started,In Progress,Blocked,In Review,Completed"</formula1>
      <formula2>0</formula2>
    </dataValidation>
    <dataValidation type="whole" allowBlank="1" showErrorMessage="1" errorTitle="Invalid %" error="Enter a whole number between 0 and 100." sqref="K5:K29" xr:uid="{00000000-0002-0000-0100-000002000000}">
      <formula1>0</formula1>
      <formula2>100</formula2>
    </dataValidation>
    <dataValidation type="list" allowBlank="1" sqref="D5:D29" xr:uid="{00000000-0002-0000-0100-000003000000}">
      <formula1>"Sriram,Akash,Nitish,Harsha"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zoomScale="120" zoomScaleNormal="120" workbookViewId="0">
      <pane ySplit="4" topLeftCell="A15" activePane="bottomLeft" state="frozen"/>
      <selection pane="bottomLeft" activeCell="C23" sqref="C23"/>
    </sheetView>
  </sheetViews>
  <sheetFormatPr defaultColWidth="8.6640625" defaultRowHeight="14.4" x14ac:dyDescent="0.3"/>
  <cols>
    <col min="1" max="1" width="13" customWidth="1"/>
    <col min="2" max="2" width="18" customWidth="1"/>
    <col min="3" max="3" width="10" customWidth="1"/>
    <col min="4" max="4" width="36" customWidth="1"/>
    <col min="5" max="5" width="11" customWidth="1"/>
    <col min="6" max="6" width="13" customWidth="1"/>
    <col min="7" max="8" width="26" customWidth="1"/>
  </cols>
  <sheetData>
    <row r="1" spans="1:8" ht="19.5" customHeight="1" x14ac:dyDescent="0.4">
      <c r="A1" s="5" t="s">
        <v>102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103</v>
      </c>
      <c r="B2" s="4"/>
      <c r="C2" s="4"/>
      <c r="D2" s="4"/>
      <c r="E2" s="4"/>
      <c r="F2" s="4"/>
      <c r="G2" s="4"/>
      <c r="H2" s="4"/>
    </row>
    <row r="4" spans="1:8" ht="27.75" customHeight="1" x14ac:dyDescent="0.3">
      <c r="A4" s="9" t="s">
        <v>104</v>
      </c>
      <c r="B4" s="9" t="s">
        <v>105</v>
      </c>
      <c r="C4" s="9" t="s">
        <v>23</v>
      </c>
      <c r="D4" s="9" t="s">
        <v>106</v>
      </c>
      <c r="E4" s="9" t="s">
        <v>32</v>
      </c>
      <c r="F4" s="9" t="s">
        <v>28</v>
      </c>
      <c r="G4" s="9" t="s">
        <v>107</v>
      </c>
      <c r="H4" s="9" t="s">
        <v>108</v>
      </c>
    </row>
    <row r="5" spans="1:8" ht="25.5" customHeight="1" x14ac:dyDescent="0.3">
      <c r="A5" s="12">
        <v>46295</v>
      </c>
      <c r="B5" s="10" t="s">
        <v>39</v>
      </c>
      <c r="C5" s="10" t="s">
        <v>36</v>
      </c>
      <c r="D5" s="11" t="s">
        <v>38</v>
      </c>
      <c r="E5" s="10">
        <v>1.5</v>
      </c>
      <c r="F5" s="10" t="s">
        <v>41</v>
      </c>
      <c r="G5" s="11" t="s">
        <v>42</v>
      </c>
      <c r="H5" s="11" t="s">
        <v>109</v>
      </c>
    </row>
    <row r="6" spans="1:8" ht="25.5" customHeight="1" x14ac:dyDescent="0.3">
      <c r="A6" s="15">
        <v>46295</v>
      </c>
      <c r="B6" s="13" t="s">
        <v>45</v>
      </c>
      <c r="C6" s="13" t="s">
        <v>43</v>
      </c>
      <c r="D6" s="14" t="s">
        <v>110</v>
      </c>
      <c r="E6" s="13">
        <v>1</v>
      </c>
      <c r="F6" s="13" t="s">
        <v>41</v>
      </c>
      <c r="G6" s="14" t="s">
        <v>42</v>
      </c>
      <c r="H6" s="14" t="s">
        <v>111</v>
      </c>
    </row>
    <row r="7" spans="1:8" ht="25.5" customHeight="1" x14ac:dyDescent="0.3">
      <c r="A7" s="12">
        <v>46295</v>
      </c>
      <c r="B7" s="10" t="s">
        <v>48</v>
      </c>
      <c r="C7" s="10" t="s">
        <v>46</v>
      </c>
      <c r="D7" s="11" t="s">
        <v>47</v>
      </c>
      <c r="E7" s="10">
        <v>1</v>
      </c>
      <c r="F7" s="10" t="s">
        <v>41</v>
      </c>
      <c r="G7" s="11" t="s">
        <v>42</v>
      </c>
      <c r="H7" s="11" t="s">
        <v>111</v>
      </c>
    </row>
    <row r="8" spans="1:8" ht="25.5" customHeight="1" x14ac:dyDescent="0.3">
      <c r="A8" s="15">
        <v>46295</v>
      </c>
      <c r="B8" s="13" t="s">
        <v>51</v>
      </c>
      <c r="C8" s="13" t="s">
        <v>49</v>
      </c>
      <c r="D8" s="14" t="s">
        <v>50</v>
      </c>
      <c r="E8" s="13">
        <v>1</v>
      </c>
      <c r="F8" s="13" t="s">
        <v>41</v>
      </c>
      <c r="G8" s="14" t="s">
        <v>42</v>
      </c>
      <c r="H8" s="14" t="s">
        <v>111</v>
      </c>
    </row>
    <row r="9" spans="1:8" ht="24.75" customHeight="1" x14ac:dyDescent="0.3">
      <c r="A9" s="12">
        <v>46296</v>
      </c>
      <c r="B9" s="10" t="s">
        <v>48</v>
      </c>
      <c r="C9" s="10" t="s">
        <v>52</v>
      </c>
      <c r="D9" s="11" t="s">
        <v>112</v>
      </c>
      <c r="E9" s="10">
        <v>1</v>
      </c>
      <c r="F9" s="10" t="s">
        <v>41</v>
      </c>
      <c r="G9" s="11" t="s">
        <v>42</v>
      </c>
      <c r="H9" s="11" t="s">
        <v>113</v>
      </c>
    </row>
    <row r="10" spans="1:8" ht="24.75" customHeight="1" x14ac:dyDescent="0.3">
      <c r="A10" s="15">
        <v>46296</v>
      </c>
      <c r="B10" s="13" t="s">
        <v>45</v>
      </c>
      <c r="C10" s="13" t="s">
        <v>55</v>
      </c>
      <c r="D10" s="14" t="s">
        <v>114</v>
      </c>
      <c r="E10" s="13">
        <v>2.5</v>
      </c>
      <c r="F10" s="13" t="s">
        <v>115</v>
      </c>
      <c r="G10" s="14" t="s">
        <v>42</v>
      </c>
      <c r="H10" s="14" t="s">
        <v>116</v>
      </c>
    </row>
    <row r="11" spans="1:8" ht="24.75" customHeight="1" x14ac:dyDescent="0.3">
      <c r="A11" s="12">
        <v>46297</v>
      </c>
      <c r="B11" s="10" t="s">
        <v>45</v>
      </c>
      <c r="C11" s="10" t="s">
        <v>55</v>
      </c>
      <c r="D11" s="11" t="s">
        <v>117</v>
      </c>
      <c r="E11" s="10">
        <v>2.5</v>
      </c>
      <c r="F11" s="10" t="s">
        <v>41</v>
      </c>
      <c r="G11" s="11" t="s">
        <v>42</v>
      </c>
      <c r="H11" s="11" t="s">
        <v>118</v>
      </c>
    </row>
    <row r="12" spans="1:8" ht="24.75" customHeight="1" x14ac:dyDescent="0.3">
      <c r="A12" s="15">
        <v>46297</v>
      </c>
      <c r="B12" s="13" t="s">
        <v>39</v>
      </c>
      <c r="C12" s="13" t="s">
        <v>58</v>
      </c>
      <c r="D12" s="14" t="s">
        <v>119</v>
      </c>
      <c r="E12" s="13">
        <v>3</v>
      </c>
      <c r="F12" s="13" t="s">
        <v>115</v>
      </c>
      <c r="G12" s="14" t="s">
        <v>42</v>
      </c>
      <c r="H12" s="14" t="s">
        <v>120</v>
      </c>
    </row>
    <row r="13" spans="1:8" ht="24.75" customHeight="1" x14ac:dyDescent="0.3">
      <c r="A13" s="12">
        <v>46297</v>
      </c>
      <c r="B13" s="10" t="s">
        <v>48</v>
      </c>
      <c r="C13" s="10" t="s">
        <v>62</v>
      </c>
      <c r="D13" s="11" t="s">
        <v>121</v>
      </c>
      <c r="E13" s="10">
        <v>2</v>
      </c>
      <c r="F13" s="10" t="s">
        <v>115</v>
      </c>
      <c r="G13" s="11" t="s">
        <v>42</v>
      </c>
      <c r="H13" s="11" t="s">
        <v>122</v>
      </c>
    </row>
    <row r="14" spans="1:8" ht="24.75" customHeight="1" x14ac:dyDescent="0.3">
      <c r="A14" s="15">
        <v>46297</v>
      </c>
      <c r="B14" s="13" t="s">
        <v>48</v>
      </c>
      <c r="C14" s="13" t="s">
        <v>71</v>
      </c>
      <c r="D14" s="14" t="s">
        <v>123</v>
      </c>
      <c r="E14" s="13">
        <v>1.5</v>
      </c>
      <c r="F14" s="13" t="s">
        <v>115</v>
      </c>
      <c r="G14" s="14" t="s">
        <v>42</v>
      </c>
      <c r="H14" s="14" t="s">
        <v>124</v>
      </c>
    </row>
    <row r="15" spans="1:8" ht="24.75" customHeight="1" x14ac:dyDescent="0.3">
      <c r="A15" s="12">
        <v>46297</v>
      </c>
      <c r="B15" s="10" t="s">
        <v>51</v>
      </c>
      <c r="C15" s="10" t="s">
        <v>66</v>
      </c>
      <c r="D15" s="11" t="s">
        <v>125</v>
      </c>
      <c r="E15" s="10">
        <v>2</v>
      </c>
      <c r="F15" s="10" t="s">
        <v>115</v>
      </c>
      <c r="G15" s="11" t="s">
        <v>42</v>
      </c>
      <c r="H15" s="11" t="s">
        <v>126</v>
      </c>
    </row>
    <row r="16" spans="1:8" ht="24.75" customHeight="1" x14ac:dyDescent="0.3">
      <c r="A16" s="15">
        <v>46300</v>
      </c>
      <c r="B16" s="13" t="s">
        <v>45</v>
      </c>
      <c r="C16" s="13" t="s">
        <v>78</v>
      </c>
      <c r="D16" s="14" t="s">
        <v>127</v>
      </c>
      <c r="E16" s="13">
        <v>5</v>
      </c>
      <c r="F16" s="13" t="s">
        <v>115</v>
      </c>
      <c r="G16" s="14" t="s">
        <v>42</v>
      </c>
      <c r="H16" s="14" t="s">
        <v>128</v>
      </c>
    </row>
    <row r="17" spans="1:8" ht="24.75" customHeight="1" x14ac:dyDescent="0.3">
      <c r="A17" s="12">
        <v>46300</v>
      </c>
      <c r="B17" s="10" t="s">
        <v>39</v>
      </c>
      <c r="C17" s="10" t="s">
        <v>58</v>
      </c>
      <c r="D17" s="11" t="s">
        <v>129</v>
      </c>
      <c r="E17" s="10">
        <v>3</v>
      </c>
      <c r="F17" s="10" t="s">
        <v>130</v>
      </c>
      <c r="G17" s="11" t="s">
        <v>61</v>
      </c>
      <c r="H17" s="11" t="s">
        <v>131</v>
      </c>
    </row>
    <row r="18" spans="1:8" ht="24.75" customHeight="1" x14ac:dyDescent="0.3">
      <c r="A18" s="15">
        <v>46300</v>
      </c>
      <c r="B18" s="13" t="s">
        <v>48</v>
      </c>
      <c r="C18" s="13" t="s">
        <v>62</v>
      </c>
      <c r="D18" s="14" t="s">
        <v>132</v>
      </c>
      <c r="E18" s="13">
        <v>2</v>
      </c>
      <c r="F18" s="13" t="s">
        <v>130</v>
      </c>
      <c r="G18" s="14" t="s">
        <v>65</v>
      </c>
      <c r="H18" s="14" t="s">
        <v>133</v>
      </c>
    </row>
    <row r="19" spans="1:8" ht="24.75" customHeight="1" x14ac:dyDescent="0.3">
      <c r="A19" s="12">
        <v>46300</v>
      </c>
      <c r="B19" s="10" t="s">
        <v>48</v>
      </c>
      <c r="C19" s="10" t="s">
        <v>71</v>
      </c>
      <c r="D19" s="11" t="s">
        <v>134</v>
      </c>
      <c r="E19" s="10">
        <v>1.5</v>
      </c>
      <c r="F19" s="10" t="s">
        <v>115</v>
      </c>
      <c r="G19" s="11" t="s">
        <v>42</v>
      </c>
      <c r="H19" s="11" t="s">
        <v>135</v>
      </c>
    </row>
    <row r="20" spans="1:8" ht="24.75" customHeight="1" x14ac:dyDescent="0.3">
      <c r="A20" s="15">
        <v>46300</v>
      </c>
      <c r="B20" s="13" t="s">
        <v>51</v>
      </c>
      <c r="C20" s="13" t="s">
        <v>66</v>
      </c>
      <c r="D20" s="14" t="s">
        <v>136</v>
      </c>
      <c r="E20" s="13">
        <v>2</v>
      </c>
      <c r="F20" s="13" t="s">
        <v>115</v>
      </c>
      <c r="G20" s="14" t="s">
        <v>42</v>
      </c>
      <c r="H20" s="14" t="s">
        <v>137</v>
      </c>
    </row>
    <row r="21" spans="1:8" ht="24.75" customHeight="1" x14ac:dyDescent="0.3">
      <c r="A21" s="12">
        <v>46301</v>
      </c>
      <c r="B21" s="38" t="s">
        <v>39</v>
      </c>
      <c r="C21" s="10" t="s">
        <v>138</v>
      </c>
      <c r="D21" s="11" t="s">
        <v>139</v>
      </c>
      <c r="E21" s="10">
        <v>7</v>
      </c>
      <c r="F21" s="10" t="s">
        <v>115</v>
      </c>
      <c r="G21" s="11" t="s">
        <v>85</v>
      </c>
      <c r="H21" s="11" t="s">
        <v>140</v>
      </c>
    </row>
    <row r="22" spans="1:8" ht="24.75" customHeight="1" x14ac:dyDescent="0.3">
      <c r="A22" s="15">
        <v>46301</v>
      </c>
      <c r="B22" s="13" t="s">
        <v>39</v>
      </c>
      <c r="C22" s="13" t="s">
        <v>74</v>
      </c>
      <c r="D22" s="14" t="s">
        <v>141</v>
      </c>
      <c r="E22" s="13">
        <v>3</v>
      </c>
      <c r="F22" s="13" t="s">
        <v>130</v>
      </c>
      <c r="G22" s="14" t="s">
        <v>77</v>
      </c>
      <c r="H22" s="14" t="s">
        <v>142</v>
      </c>
    </row>
    <row r="23" spans="1:8" ht="24.75" customHeight="1" x14ac:dyDescent="0.3">
      <c r="A23" s="12">
        <v>46301</v>
      </c>
      <c r="B23" s="10" t="s">
        <v>48</v>
      </c>
      <c r="C23" s="10" t="s">
        <v>71</v>
      </c>
      <c r="D23" s="11" t="s">
        <v>143</v>
      </c>
      <c r="E23" s="10">
        <v>1</v>
      </c>
      <c r="F23" s="10" t="s">
        <v>130</v>
      </c>
      <c r="G23" s="11" t="s">
        <v>70</v>
      </c>
      <c r="H23" s="11" t="s">
        <v>144</v>
      </c>
    </row>
    <row r="24" spans="1:8" ht="24.75" customHeight="1" x14ac:dyDescent="0.3">
      <c r="A24" s="15">
        <v>46301</v>
      </c>
      <c r="B24" s="13" t="s">
        <v>51</v>
      </c>
      <c r="C24" s="13" t="s">
        <v>66</v>
      </c>
      <c r="D24" s="14" t="s">
        <v>145</v>
      </c>
      <c r="E24" s="13">
        <v>1</v>
      </c>
      <c r="F24" s="13" t="s">
        <v>130</v>
      </c>
      <c r="G24" s="14" t="s">
        <v>70</v>
      </c>
      <c r="H24" s="14" t="s">
        <v>146</v>
      </c>
    </row>
    <row r="25" spans="1:8" x14ac:dyDescent="0.3">
      <c r="A25" s="21"/>
      <c r="B25" s="19"/>
      <c r="C25" s="19"/>
      <c r="D25" s="20"/>
      <c r="E25" s="19"/>
      <c r="F25" s="19"/>
      <c r="G25" s="20"/>
      <c r="H25" s="20"/>
    </row>
    <row r="26" spans="1:8" x14ac:dyDescent="0.3">
      <c r="A26" s="18"/>
      <c r="B26" s="16"/>
      <c r="C26" s="16"/>
      <c r="D26" s="17"/>
      <c r="E26" s="16"/>
      <c r="F26" s="16"/>
      <c r="G26" s="17"/>
      <c r="H26" s="17"/>
    </row>
    <row r="27" spans="1:8" x14ac:dyDescent="0.3">
      <c r="A27" s="21"/>
      <c r="B27" s="19"/>
      <c r="C27" s="19"/>
      <c r="D27" s="20"/>
      <c r="E27" s="19"/>
      <c r="F27" s="19"/>
      <c r="G27" s="20"/>
      <c r="H27" s="20"/>
    </row>
    <row r="28" spans="1:8" x14ac:dyDescent="0.3">
      <c r="A28" s="18"/>
      <c r="B28" s="16"/>
      <c r="C28" s="16"/>
      <c r="D28" s="17"/>
      <c r="E28" s="16"/>
      <c r="F28" s="16"/>
      <c r="G28" s="17"/>
      <c r="H28" s="17"/>
    </row>
    <row r="29" spans="1:8" x14ac:dyDescent="0.3">
      <c r="A29" s="21"/>
      <c r="B29" s="19"/>
      <c r="C29" s="19"/>
      <c r="D29" s="20"/>
      <c r="E29" s="19"/>
      <c r="F29" s="19"/>
      <c r="G29" s="20"/>
      <c r="H29" s="20"/>
    </row>
    <row r="30" spans="1:8" x14ac:dyDescent="0.3">
      <c r="A30" s="18"/>
      <c r="B30" s="16"/>
      <c r="C30" s="16"/>
      <c r="D30" s="17"/>
      <c r="E30" s="16"/>
      <c r="F30" s="16"/>
      <c r="G30" s="17"/>
      <c r="H30" s="17"/>
    </row>
    <row r="31" spans="1:8" x14ac:dyDescent="0.3">
      <c r="A31" s="21"/>
      <c r="B31" s="19"/>
      <c r="C31" s="19"/>
      <c r="D31" s="20"/>
      <c r="E31" s="19"/>
      <c r="F31" s="19"/>
      <c r="G31" s="20"/>
      <c r="H31" s="20"/>
    </row>
    <row r="32" spans="1:8" x14ac:dyDescent="0.3">
      <c r="A32" s="18"/>
      <c r="B32" s="16"/>
      <c r="C32" s="16"/>
      <c r="D32" s="17"/>
      <c r="E32" s="16"/>
      <c r="F32" s="16"/>
      <c r="G32" s="17"/>
      <c r="H32" s="17"/>
    </row>
    <row r="33" spans="1:8" x14ac:dyDescent="0.3">
      <c r="A33" s="21"/>
      <c r="B33" s="19"/>
      <c r="C33" s="19"/>
      <c r="D33" s="20"/>
      <c r="E33" s="19"/>
      <c r="F33" s="19"/>
      <c r="G33" s="20"/>
      <c r="H33" s="20"/>
    </row>
    <row r="34" spans="1:8" x14ac:dyDescent="0.3">
      <c r="A34" s="18"/>
      <c r="B34" s="16"/>
      <c r="C34" s="16"/>
      <c r="D34" s="17"/>
      <c r="E34" s="16"/>
      <c r="F34" s="16"/>
      <c r="G34" s="17"/>
      <c r="H34" s="17"/>
    </row>
    <row r="35" spans="1:8" x14ac:dyDescent="0.3">
      <c r="A35" s="21"/>
      <c r="B35" s="19"/>
      <c r="C35" s="19"/>
      <c r="D35" s="20"/>
      <c r="E35" s="19"/>
      <c r="F35" s="19"/>
      <c r="G35" s="20"/>
      <c r="H35" s="20"/>
    </row>
    <row r="36" spans="1:8" x14ac:dyDescent="0.3">
      <c r="A36" s="18"/>
      <c r="B36" s="16"/>
      <c r="C36" s="16"/>
      <c r="D36" s="17"/>
      <c r="E36" s="16"/>
      <c r="F36" s="16"/>
      <c r="G36" s="17"/>
      <c r="H36" s="17"/>
    </row>
    <row r="37" spans="1:8" x14ac:dyDescent="0.3">
      <c r="A37" s="21"/>
      <c r="B37" s="19"/>
      <c r="C37" s="19"/>
      <c r="D37" s="20"/>
      <c r="E37" s="19"/>
      <c r="F37" s="19"/>
      <c r="G37" s="20"/>
      <c r="H37" s="20"/>
    </row>
    <row r="38" spans="1:8" x14ac:dyDescent="0.3">
      <c r="A38" s="18"/>
      <c r="B38" s="16"/>
      <c r="C38" s="16"/>
      <c r="D38" s="17"/>
      <c r="E38" s="16"/>
      <c r="F38" s="16"/>
      <c r="G38" s="17"/>
      <c r="H38" s="17"/>
    </row>
    <row r="39" spans="1:8" x14ac:dyDescent="0.3">
      <c r="A39" s="21"/>
      <c r="B39" s="19"/>
      <c r="C39" s="19"/>
      <c r="D39" s="20"/>
      <c r="E39" s="19"/>
      <c r="F39" s="19"/>
      <c r="G39" s="20"/>
      <c r="H39" s="20"/>
    </row>
    <row r="40" spans="1:8" x14ac:dyDescent="0.3">
      <c r="A40" s="18"/>
      <c r="B40" s="16"/>
      <c r="C40" s="16"/>
      <c r="D40" s="17"/>
      <c r="E40" s="16"/>
      <c r="F40" s="16"/>
      <c r="G40" s="17"/>
      <c r="H40" s="17"/>
    </row>
    <row r="41" spans="1:8" x14ac:dyDescent="0.3">
      <c r="A41" s="21"/>
      <c r="B41" s="19"/>
      <c r="C41" s="19"/>
      <c r="D41" s="20"/>
      <c r="E41" s="19"/>
      <c r="F41" s="19"/>
      <c r="G41" s="20"/>
      <c r="H41" s="20"/>
    </row>
    <row r="42" spans="1:8" x14ac:dyDescent="0.3">
      <c r="A42" s="18"/>
      <c r="B42" s="16"/>
      <c r="C42" s="16"/>
      <c r="D42" s="17"/>
      <c r="E42" s="16"/>
      <c r="F42" s="16"/>
      <c r="G42" s="17"/>
      <c r="H42" s="17"/>
    </row>
    <row r="43" spans="1:8" x14ac:dyDescent="0.3">
      <c r="A43" s="21"/>
      <c r="B43" s="19"/>
      <c r="C43" s="19"/>
      <c r="D43" s="20"/>
      <c r="E43" s="19"/>
      <c r="F43" s="19"/>
      <c r="G43" s="20"/>
      <c r="H43" s="20"/>
    </row>
    <row r="44" spans="1:8" x14ac:dyDescent="0.3">
      <c r="A44" s="18"/>
      <c r="B44" s="16"/>
      <c r="C44" s="16"/>
      <c r="D44" s="17"/>
      <c r="E44" s="16"/>
      <c r="F44" s="16"/>
      <c r="G44" s="17"/>
      <c r="H44" s="17"/>
    </row>
    <row r="45" spans="1:8" x14ac:dyDescent="0.3">
      <c r="A45" s="21"/>
      <c r="B45" s="19"/>
      <c r="C45" s="19"/>
      <c r="D45" s="20"/>
      <c r="E45" s="19"/>
      <c r="F45" s="19"/>
      <c r="G45" s="20"/>
      <c r="H45" s="20"/>
    </row>
    <row r="46" spans="1:8" x14ac:dyDescent="0.3">
      <c r="A46" s="18"/>
      <c r="B46" s="16"/>
      <c r="C46" s="16"/>
      <c r="D46" s="17"/>
      <c r="E46" s="16"/>
      <c r="F46" s="16"/>
      <c r="G46" s="17"/>
      <c r="H46" s="17"/>
    </row>
    <row r="47" spans="1:8" x14ac:dyDescent="0.3">
      <c r="A47" s="21"/>
      <c r="B47" s="19"/>
      <c r="C47" s="19"/>
      <c r="D47" s="20"/>
      <c r="E47" s="19"/>
      <c r="F47" s="19"/>
      <c r="G47" s="20"/>
      <c r="H47" s="20"/>
    </row>
    <row r="48" spans="1:8" x14ac:dyDescent="0.3">
      <c r="A48" s="18"/>
      <c r="B48" s="16"/>
      <c r="C48" s="16"/>
      <c r="D48" s="17"/>
      <c r="E48" s="16"/>
      <c r="F48" s="16"/>
      <c r="G48" s="17"/>
      <c r="H48" s="17"/>
    </row>
  </sheetData>
  <mergeCells count="2">
    <mergeCell ref="A1:H1"/>
    <mergeCell ref="A2:H2"/>
  </mergeCells>
  <dataValidations count="2">
    <dataValidation type="list" allowBlank="1" sqref="F5:F48" xr:uid="{00000000-0002-0000-0200-000000000000}">
      <formula1>"Not Started,In Progress,Blocked,In Review,Completed"</formula1>
      <formula2>0</formula2>
    </dataValidation>
    <dataValidation type="list" allowBlank="1" sqref="B5:B48" xr:uid="{00000000-0002-0000-0200-000001000000}">
      <formula1>"Sriram,Akash,Nitish,Harsha"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2"/>
  <sheetViews>
    <sheetView showGridLines="0" tabSelected="1" topLeftCell="A7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5" width="13" customWidth="1"/>
    <col min="6" max="7" width="16" customWidth="1"/>
  </cols>
  <sheetData>
    <row r="2" spans="2:3" ht="19.5" customHeight="1" x14ac:dyDescent="0.4">
      <c r="B2" s="8" t="s">
        <v>147</v>
      </c>
    </row>
    <row r="3" spans="2:3" x14ac:dyDescent="0.3">
      <c r="B3" s="7" t="s">
        <v>148</v>
      </c>
    </row>
    <row r="5" spans="2:3" x14ac:dyDescent="0.3">
      <c r="B5" s="22" t="s">
        <v>149</v>
      </c>
    </row>
    <row r="6" spans="2:3" x14ac:dyDescent="0.3">
      <c r="B6" s="23" t="s">
        <v>150</v>
      </c>
      <c r="C6" s="24">
        <f>COUNTIF('Task Tracker'!$A$5:$A$29,"&lt;&gt;")</f>
        <v>18</v>
      </c>
    </row>
    <row r="7" spans="2:3" x14ac:dyDescent="0.3">
      <c r="B7" s="23" t="s">
        <v>151</v>
      </c>
      <c r="C7" s="24">
        <f>COUNTIF('Task Tracker'!$F$5:$F$29,"Not Started")</f>
        <v>0</v>
      </c>
    </row>
    <row r="8" spans="2:3" x14ac:dyDescent="0.3">
      <c r="B8" s="23" t="s">
        <v>115</v>
      </c>
      <c r="C8" s="24">
        <f>COUNTIF('Task Tracker'!$F$5:$F$29,"In Progress")</f>
        <v>0</v>
      </c>
    </row>
    <row r="9" spans="2:3" x14ac:dyDescent="0.3">
      <c r="B9" s="23" t="s">
        <v>152</v>
      </c>
      <c r="C9" s="24">
        <f>COUNTIF('Task Tracker'!$F$5:$F$29,"Blocked")</f>
        <v>0</v>
      </c>
    </row>
    <row r="10" spans="2:3" x14ac:dyDescent="0.3">
      <c r="B10" s="23" t="s">
        <v>130</v>
      </c>
      <c r="C10" s="24">
        <f>COUNTIF('Task Tracker'!$F$5:$F$29,"In Review")</f>
        <v>0</v>
      </c>
    </row>
    <row r="11" spans="2:3" x14ac:dyDescent="0.3">
      <c r="B11" s="23" t="s">
        <v>41</v>
      </c>
      <c r="C11" s="24">
        <f>COUNTIF('Task Tracker'!$F$5:$F$29,"Completed")</f>
        <v>18</v>
      </c>
    </row>
    <row r="13" spans="2:3" x14ac:dyDescent="0.3">
      <c r="B13" s="22" t="s">
        <v>153</v>
      </c>
    </row>
    <row r="14" spans="2:3" x14ac:dyDescent="0.3">
      <c r="B14" s="23" t="s">
        <v>154</v>
      </c>
      <c r="C14" s="25">
        <f>SUM('Task Tracker'!$I$5:$I$29)</f>
        <v>60</v>
      </c>
    </row>
    <row r="15" spans="2:3" x14ac:dyDescent="0.3">
      <c r="B15" s="23" t="s">
        <v>155</v>
      </c>
      <c r="C15" s="25">
        <f>SUM('Task Tracker'!$J$5:$J$29)</f>
        <v>61.5</v>
      </c>
    </row>
    <row r="16" spans="2:3" x14ac:dyDescent="0.3">
      <c r="B16" s="23" t="s">
        <v>156</v>
      </c>
      <c r="C16" s="26">
        <f>IFERROR(AVERAGE('Task Tracker'!$K$5:$K$29),0)</f>
        <v>100</v>
      </c>
    </row>
    <row r="20" spans="2:6" x14ac:dyDescent="0.3">
      <c r="B20" s="27" t="s">
        <v>28</v>
      </c>
      <c r="C20" s="27" t="s">
        <v>157</v>
      </c>
      <c r="E20" s="27" t="s">
        <v>158</v>
      </c>
      <c r="F20" s="27" t="s">
        <v>159</v>
      </c>
    </row>
    <row r="21" spans="2:6" x14ac:dyDescent="0.3">
      <c r="B21" s="28" t="s">
        <v>151</v>
      </c>
      <c r="C21" s="28">
        <f>C7</f>
        <v>0</v>
      </c>
      <c r="E21" s="28" t="s">
        <v>31</v>
      </c>
      <c r="F21" s="29">
        <f>C14</f>
        <v>60</v>
      </c>
    </row>
    <row r="22" spans="2:6" x14ac:dyDescent="0.3">
      <c r="B22" s="28" t="s">
        <v>115</v>
      </c>
      <c r="C22" s="28">
        <f>C8</f>
        <v>0</v>
      </c>
      <c r="E22" s="28" t="s">
        <v>160</v>
      </c>
      <c r="F22" s="29">
        <f>C15</f>
        <v>61.5</v>
      </c>
    </row>
    <row r="23" spans="2:6" x14ac:dyDescent="0.3">
      <c r="B23" s="28" t="s">
        <v>152</v>
      </c>
      <c r="C23" s="28">
        <f>C9</f>
        <v>0</v>
      </c>
    </row>
    <row r="24" spans="2:6" x14ac:dyDescent="0.3">
      <c r="B24" s="28" t="s">
        <v>130</v>
      </c>
      <c r="C24" s="28">
        <f>C10</f>
        <v>0</v>
      </c>
    </row>
    <row r="25" spans="2:6" x14ac:dyDescent="0.3">
      <c r="B25" s="28" t="s">
        <v>41</v>
      </c>
      <c r="C25" s="28">
        <f>C11</f>
        <v>18</v>
      </c>
    </row>
    <row r="36" spans="2:7" x14ac:dyDescent="0.3">
      <c r="B36" s="27" t="s">
        <v>161</v>
      </c>
    </row>
    <row r="37" spans="2:7" ht="30" customHeight="1" x14ac:dyDescent="0.3">
      <c r="B37" s="30" t="s">
        <v>162</v>
      </c>
      <c r="C37" s="30" t="s">
        <v>163</v>
      </c>
      <c r="D37" s="30" t="s">
        <v>31</v>
      </c>
      <c r="E37" s="30" t="s">
        <v>32</v>
      </c>
      <c r="F37" s="30" t="s">
        <v>164</v>
      </c>
      <c r="G37" s="30" t="s">
        <v>156</v>
      </c>
    </row>
    <row r="38" spans="2:7" x14ac:dyDescent="0.3">
      <c r="B38" s="31" t="s">
        <v>39</v>
      </c>
      <c r="C38" s="32">
        <f>COUNTIF('Task Tracker'!$D$5:$D$29,B38)</f>
        <v>5</v>
      </c>
      <c r="D38" s="33">
        <f>SUMIF('Task Tracker'!$D$5:$D$29,B38,'Task Tracker'!$I$5:$I$29)</f>
        <v>21</v>
      </c>
      <c r="E38" s="33">
        <f>SUMIF('Task Tracker'!$D$5:$D$29,B38,'Task Tracker'!$J$5:$J$29)</f>
        <v>24.5</v>
      </c>
      <c r="F38" s="34">
        <f>IFERROR(D38/$D$42,0)</f>
        <v>0.35</v>
      </c>
      <c r="G38" s="34">
        <f>IFERROR(AVERAGEIF('Task Tracker'!$D$5:$D$29,B38,'Task Tracker'!$K$5:$K$29)/100,0)</f>
        <v>1</v>
      </c>
    </row>
    <row r="39" spans="2:7" x14ac:dyDescent="0.3">
      <c r="B39" s="31" t="s">
        <v>51</v>
      </c>
      <c r="C39" s="32">
        <f>COUNTIF('Task Tracker'!$D$5:$D$29,B39)</f>
        <v>4</v>
      </c>
      <c r="D39" s="33">
        <f>SUMIF('Task Tracker'!$D$5:$D$29,B39,'Task Tracker'!$I$5:$I$29)</f>
        <v>15</v>
      </c>
      <c r="E39" s="33">
        <f>SUMIF('Task Tracker'!$D$5:$D$29,B39,'Task Tracker'!$J$5:$J$29)</f>
        <v>12</v>
      </c>
      <c r="F39" s="34">
        <f>IFERROR(D39/$D$42,0)</f>
        <v>0.25</v>
      </c>
      <c r="G39" s="34">
        <f>IFERROR(AVERAGEIF('Task Tracker'!$D$5:$D$29,B39,'Task Tracker'!$K$5:$K$29)/100,0)</f>
        <v>1</v>
      </c>
    </row>
    <row r="40" spans="2:7" x14ac:dyDescent="0.3">
      <c r="B40" s="31" t="s">
        <v>48</v>
      </c>
      <c r="C40" s="32">
        <f>COUNTIF('Task Tracker'!$D$5:$D$29,B40)</f>
        <v>5</v>
      </c>
      <c r="D40" s="33">
        <f>SUMIF('Task Tracker'!$D$5:$D$29,B40,'Task Tracker'!$I$5:$I$29)</f>
        <v>15</v>
      </c>
      <c r="E40" s="33">
        <f>SUMIF('Task Tracker'!$D$5:$D$29,B40,'Task Tracker'!$J$5:$J$29)</f>
        <v>15</v>
      </c>
      <c r="F40" s="34">
        <f>IFERROR(D40/$D$42,0)</f>
        <v>0.25</v>
      </c>
      <c r="G40" s="34">
        <f>IFERROR(AVERAGEIF('Task Tracker'!$D$5:$D$29,B40,'Task Tracker'!$K$5:$K$29)/100,0)</f>
        <v>1</v>
      </c>
    </row>
    <row r="41" spans="2:7" x14ac:dyDescent="0.3">
      <c r="B41" s="31" t="s">
        <v>45</v>
      </c>
      <c r="C41" s="32">
        <f>COUNTIF('Task Tracker'!$D$5:$D$29,B41)</f>
        <v>4</v>
      </c>
      <c r="D41" s="33">
        <f>SUMIF('Task Tracker'!$D$5:$D$29,B41,'Task Tracker'!$I$5:$I$29)</f>
        <v>9</v>
      </c>
      <c r="E41" s="33">
        <f>SUMIF('Task Tracker'!$D$5:$D$29,B41,'Task Tracker'!$J$5:$J$29)</f>
        <v>10</v>
      </c>
      <c r="F41" s="34">
        <f>IFERROR(D41/$D$42,0)</f>
        <v>0.15</v>
      </c>
      <c r="G41" s="34">
        <f>IFERROR(AVERAGEIF('Task Tracker'!$D$5:$D$29,B41,'Task Tracker'!$K$5:$K$29)/100,0)</f>
        <v>1</v>
      </c>
    </row>
    <row r="42" spans="2:7" x14ac:dyDescent="0.3">
      <c r="B42" s="31" t="s">
        <v>165</v>
      </c>
      <c r="C42" s="35">
        <f>SUM(C38:C41)</f>
        <v>18</v>
      </c>
      <c r="D42" s="36">
        <f>SUM(D38:D41)</f>
        <v>60</v>
      </c>
      <c r="E42" s="36">
        <f>SUM(E38:E41)</f>
        <v>61.5</v>
      </c>
      <c r="F42" s="37">
        <f>SUM(F38:F41)</f>
        <v>1</v>
      </c>
      <c r="G42" s="37">
        <f>IFERROR(AVERAGE('Task Tracker'!$K$5:$K$29)/100,0)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Task Tracker</vt:lpstr>
      <vt:lpstr>Daily Work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Prathi Sriram</cp:lastModifiedBy>
  <cp:revision>2</cp:revision>
  <dcterms:created xsi:type="dcterms:W3CDTF">2026-09-23T11:54:13Z</dcterms:created>
  <dcterms:modified xsi:type="dcterms:W3CDTF">2026-10-08T10:05:12Z</dcterms:modified>
  <dc:language>en-US</dc:language>
</cp:coreProperties>
</file>